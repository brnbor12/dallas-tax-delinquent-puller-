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3" autoFilterDateGrouping="1"/>
  </bookViews>
  <sheets>
    <sheet name="SETTINGS" sheetId="1" state="visible" r:id="rId1"/>
    <sheet name="COMPS" sheetId="2" state="visible" r:id="rId2"/>
    <sheet name="REPAIRS" sheetId="3" state="visible" r:id="rId3"/>
    <sheet name="DEAL_CALC" sheetId="4" state="visible" r:id="rId4"/>
    <sheet name="DISPO_SUMMARY"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quot;$&quot;#,##0"/>
    <numFmt numFmtId="166" formatCode="&quot;$&quot;#,##0.00"/>
  </numFmts>
  <fonts count="9">
    <font>
      <name val="Calibri"/>
      <family val="2"/>
      <color theme="1"/>
      <sz val="11"/>
      <scheme val="minor"/>
    </font>
    <font>
      <name val="Calibri"/>
      <b val="1"/>
      <color rgb="00FFFFFF"/>
      <sz val="12"/>
    </font>
    <font>
      <name val="Calibri"/>
      <b val="1"/>
      <color rgb="001F3864"/>
      <sz val="11"/>
    </font>
    <font>
      <name val="Calibri"/>
      <sz val="10"/>
    </font>
    <font>
      <name val="Calibri"/>
      <color rgb="002E75B6"/>
      <sz val="10"/>
    </font>
    <font>
      <name val="Calibri"/>
      <b val="1"/>
      <color rgb="00FFFFFF"/>
      <sz val="10"/>
    </font>
    <font>
      <name val="Calibri"/>
      <color rgb="00000000"/>
      <sz val="10"/>
    </font>
    <font>
      <name val="Calibri"/>
      <b val="1"/>
      <color rgb="00548235"/>
      <sz val="10"/>
    </font>
    <font>
      <name val="Calibri"/>
      <i val="1"/>
      <color rgb="00666666"/>
      <sz val="9"/>
    </font>
  </fonts>
  <fills count="7">
    <fill>
      <patternFill/>
    </fill>
    <fill>
      <patternFill patternType="gray125"/>
    </fill>
    <fill>
      <patternFill patternType="solid">
        <fgColor rgb="001F3864"/>
      </patternFill>
    </fill>
    <fill>
      <patternFill patternType="solid">
        <fgColor rgb="00D6E4F0"/>
      </patternFill>
    </fill>
    <fill>
      <patternFill patternType="solid">
        <fgColor rgb="00FFF2CC"/>
      </patternFill>
    </fill>
    <fill>
      <patternFill patternType="solid">
        <fgColor rgb="002E75B6"/>
      </patternFill>
    </fill>
    <fill>
      <patternFill patternType="solid">
        <fgColor rgb="00E2EFD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xf>
    <xf numFmtId="0" fontId="3" fillId="0" borderId="1" applyAlignment="1" pivotButton="0" quotePrefix="0" xfId="0">
      <alignment horizontal="right" vertical="center"/>
    </xf>
    <xf numFmtId="164" fontId="4" fillId="4" borderId="1" applyAlignment="1" pivotButton="0" quotePrefix="0" xfId="0">
      <alignment horizontal="center" vertical="center"/>
    </xf>
    <xf numFmtId="3" fontId="4" fillId="4" borderId="1" applyAlignment="1" pivotButton="0" quotePrefix="0" xfId="0">
      <alignment horizontal="center" vertical="center"/>
    </xf>
    <xf numFmtId="165" fontId="4" fillId="4" borderId="1"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horizontal="center"/>
    </xf>
    <xf numFmtId="166" fontId="6" fillId="0" borderId="1" applyAlignment="1" pivotButton="0" quotePrefix="0" xfId="0">
      <alignment horizontal="center" vertical="center"/>
    </xf>
    <xf numFmtId="165" fontId="6" fillId="0" borderId="1" applyAlignment="1" pivotButton="0" quotePrefix="0" xfId="0">
      <alignment horizontal="center" vertical="center"/>
    </xf>
    <xf numFmtId="165" fontId="7" fillId="6" borderId="1" applyAlignment="1" pivotButton="0" quotePrefix="0" xfId="0">
      <alignment horizontal="center" vertical="center"/>
    </xf>
    <xf numFmtId="0" fontId="3" fillId="0" borderId="1" pivotButton="0" quotePrefix="0" xfId="0"/>
    <xf numFmtId="164" fontId="6" fillId="0" borderId="1" applyAlignment="1" pivotButton="0" quotePrefix="0" xfId="0">
      <alignment horizontal="center" vertical="center"/>
    </xf>
    <xf numFmtId="0" fontId="6" fillId="0" borderId="1" applyAlignment="1" pivotButton="0" quotePrefix="0" xfId="0">
      <alignment horizontal="center" vertical="center"/>
    </xf>
    <xf numFmtId="164" fontId="7" fillId="6" borderId="1" applyAlignment="1" pivotButton="0" quotePrefix="0" xfId="0">
      <alignment horizontal="center" vertical="center"/>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F29"/>
  <sheetViews>
    <sheetView workbookViewId="0">
      <selection activeCell="A1" sqref="A1"/>
    </sheetView>
  </sheetViews>
  <sheetFormatPr baseColWidth="8" defaultRowHeight="15"/>
  <cols>
    <col width="32" customWidth="1" min="1" max="1"/>
    <col width="16" customWidth="1" min="2" max="2"/>
    <col width="6" customWidth="1" min="3" max="3"/>
    <col width="32" customWidth="1" min="4" max="4"/>
    <col width="16" customWidth="1" min="5" max="5"/>
    <col width="6" customWidth="1" min="6" max="6"/>
  </cols>
  <sheetData>
    <row r="1" ht="28" customHeight="1">
      <c r="A1" s="1" t="inlineStr">
        <is>
          <t>SETTINGS – Core Assumptions</t>
        </is>
      </c>
    </row>
    <row r="3" ht="22" customHeight="1">
      <c r="A3" s="2" t="inlineStr">
        <is>
          <t>Sell-Side Costs (as % of ARV)</t>
        </is>
      </c>
    </row>
    <row r="4">
      <c r="A4" s="3" t="inlineStr">
        <is>
          <t>Realtor commission</t>
        </is>
      </c>
      <c r="B4" s="4" t="n">
        <v>0.05</v>
      </c>
    </row>
    <row r="5">
      <c r="A5" s="3" t="inlineStr">
        <is>
          <t>Seller closing costs</t>
        </is>
      </c>
      <c r="B5" s="4" t="n">
        <v>0.02</v>
      </c>
    </row>
    <row r="6">
      <c r="A6" s="3" t="inlineStr">
        <is>
          <t>Holding cost (monthly)</t>
        </is>
      </c>
      <c r="B6" s="4" t="n">
        <v>0.01</v>
      </c>
    </row>
    <row r="7">
      <c r="A7" s="3" t="inlineStr">
        <is>
          <t>Est. hold period (months)</t>
        </is>
      </c>
      <c r="B7" s="5" t="n">
        <v>6</v>
      </c>
    </row>
    <row r="9" ht="22" customHeight="1">
      <c r="A9" s="2" t="inlineStr">
        <is>
          <t>Wholesale / Offer Margins</t>
        </is>
      </c>
    </row>
    <row r="10">
      <c r="A10" s="3" t="inlineStr">
        <is>
          <t>Classic MAO % of ARV</t>
        </is>
      </c>
      <c r="B10" s="4" t="n">
        <v>0.7</v>
      </c>
    </row>
    <row r="11">
      <c r="A11" s="3" t="inlineStr">
        <is>
          <t>Tight deal MAO %</t>
        </is>
      </c>
      <c r="B11" s="4" t="n">
        <v>0.65</v>
      </c>
    </row>
    <row r="12">
      <c r="A12" s="3" t="inlineStr">
        <is>
          <t>Target buyer profit %</t>
        </is>
      </c>
      <c r="B12" s="4" t="n">
        <v>0.15</v>
      </c>
    </row>
    <row r="13">
      <c r="A13" s="3" t="inlineStr">
        <is>
          <t>Min assignment fee ($)</t>
        </is>
      </c>
      <c r="B13" s="6" t="n">
        <v>10000</v>
      </c>
    </row>
    <row r="14">
      <c r="A14" s="3" t="inlineStr">
        <is>
          <t>Opening offer discount %</t>
        </is>
      </c>
      <c r="B14" s="4" t="n">
        <v>0.2</v>
      </c>
    </row>
    <row r="15">
      <c r="A15" s="3" t="inlineStr">
        <is>
          <t>Target offer discount %</t>
        </is>
      </c>
      <c r="B15" s="4" t="n">
        <v>0.1</v>
      </c>
    </row>
    <row r="16">
      <c r="A16" s="3" t="inlineStr">
        <is>
          <t>Absolute max buffer %</t>
        </is>
      </c>
      <c r="B16" s="4" t="n">
        <v>0.02</v>
      </c>
    </row>
    <row r="18" ht="22" customHeight="1">
      <c r="A18" s="2" t="inlineStr">
        <is>
          <t>Quick Rehab Cost-per-SqFt Tiers</t>
        </is>
      </c>
    </row>
    <row r="19">
      <c r="A19" s="3" t="inlineStr">
        <is>
          <t>Light cosmetic ($/sqft)</t>
        </is>
      </c>
      <c r="B19" s="6" t="n">
        <v>15</v>
      </c>
    </row>
    <row r="20">
      <c r="A20" s="3" t="inlineStr">
        <is>
          <t>Moderate rehab ($/sqft)</t>
        </is>
      </c>
      <c r="B20" s="6" t="n">
        <v>30</v>
      </c>
    </row>
    <row r="21">
      <c r="A21" s="3" t="inlineStr">
        <is>
          <t>Heavy rehab ($/sqft)</t>
        </is>
      </c>
      <c r="B21" s="6" t="n">
        <v>50</v>
      </c>
    </row>
    <row r="22">
      <c r="A22" s="3" t="inlineStr">
        <is>
          <t>Full gut / structural ($/sqft)</t>
        </is>
      </c>
      <c r="B22" s="6" t="n">
        <v>75</v>
      </c>
    </row>
    <row r="24" ht="22" customHeight="1">
      <c r="A24" s="2" t="inlineStr">
        <is>
          <t>Dallas Buy-Box Filters (v2)</t>
        </is>
      </c>
    </row>
    <row r="25">
      <c r="A25" s="3" t="inlineStr">
        <is>
          <t>Target zip codes</t>
        </is>
      </c>
      <c r="B25" s="7" t="inlineStr">
        <is>
          <t>75215, 75216, 75217, 75223, 75227</t>
        </is>
      </c>
    </row>
    <row r="26">
      <c r="A26" s="3" t="inlineStr">
        <is>
          <t>Min ARV ($)</t>
        </is>
      </c>
      <c r="B26" s="6" t="n">
        <v>80000</v>
      </c>
    </row>
    <row r="27">
      <c r="A27" s="3" t="inlineStr">
        <is>
          <t>Max ARV ($)</t>
        </is>
      </c>
      <c r="B27" s="6" t="n">
        <v>250000</v>
      </c>
    </row>
    <row r="28">
      <c r="A28" s="3" t="inlineStr">
        <is>
          <t>Max seller ask ($)</t>
        </is>
      </c>
      <c r="B28" s="6" t="n">
        <v>150000</v>
      </c>
    </row>
    <row r="29">
      <c r="A29" s="3" t="inlineStr">
        <is>
          <t>Max rehab ($)</t>
        </is>
      </c>
      <c r="B29" s="6" t="n">
        <v>60000</v>
      </c>
    </row>
  </sheetData>
  <mergeCells count="5">
    <mergeCell ref="A24:F24"/>
    <mergeCell ref="A1:F1"/>
    <mergeCell ref="A9:F9"/>
    <mergeCell ref="A18:F18"/>
    <mergeCell ref="A3:F3"/>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17"/>
  <sheetViews>
    <sheetView workbookViewId="0">
      <selection activeCell="A1" sqref="A1"/>
    </sheetView>
  </sheetViews>
  <sheetFormatPr baseColWidth="8" defaultRowHeight="15"/>
  <cols>
    <col width="24" customWidth="1" min="1" max="1"/>
    <col width="18" customWidth="1" min="2" max="2"/>
    <col width="14" customWidth="1" min="3" max="3"/>
    <col width="14" customWidth="1" min="4" max="4"/>
    <col width="14" customWidth="1" min="5" max="5"/>
    <col width="14" customWidth="1" min="6" max="6"/>
    <col width="14" customWidth="1" min="7" max="7"/>
    <col width="14" customWidth="1" min="8" max="8"/>
  </cols>
  <sheetData>
    <row r="1" ht="28" customHeight="1">
      <c r="A1" s="1" t="inlineStr">
        <is>
          <t>COMPS – Comparable Sales ARV Builder</t>
        </is>
      </c>
    </row>
    <row r="3">
      <c r="A3" s="8" t="inlineStr">
        <is>
          <t>Field</t>
        </is>
      </c>
      <c r="B3" s="8" t="inlineStr">
        <is>
          <t>Comp 1</t>
        </is>
      </c>
      <c r="C3" s="8" t="inlineStr">
        <is>
          <t>Comp 2</t>
        </is>
      </c>
      <c r="D3" s="8" t="inlineStr">
        <is>
          <t>Comp 3</t>
        </is>
      </c>
      <c r="E3" s="8" t="inlineStr">
        <is>
          <t>Comp 4</t>
        </is>
      </c>
      <c r="F3" s="8" t="inlineStr">
        <is>
          <t>Comp 5</t>
        </is>
      </c>
      <c r="G3" s="8" t="inlineStr">
        <is>
          <t>Comp 6</t>
        </is>
      </c>
    </row>
    <row r="4">
      <c r="A4" s="3" t="inlineStr">
        <is>
          <t>Address</t>
        </is>
      </c>
      <c r="B4" s="7" t="n"/>
      <c r="C4" s="7" t="n"/>
      <c r="D4" s="7" t="n"/>
      <c r="E4" s="7" t="n"/>
      <c r="F4" s="7" t="n"/>
      <c r="G4" s="7" t="n"/>
    </row>
    <row r="5">
      <c r="A5" s="3" t="inlineStr">
        <is>
          <t>Sale price</t>
        </is>
      </c>
      <c r="B5" s="6" t="n"/>
      <c r="C5" s="6" t="n"/>
      <c r="D5" s="6" t="n"/>
      <c r="E5" s="6" t="n"/>
      <c r="F5" s="6" t="n"/>
      <c r="G5" s="6" t="n"/>
    </row>
    <row r="6">
      <c r="A6" s="3" t="inlineStr">
        <is>
          <t>Sq ft</t>
        </is>
      </c>
      <c r="B6" s="7" t="n"/>
      <c r="C6" s="7" t="n"/>
      <c r="D6" s="7" t="n"/>
      <c r="E6" s="7" t="n"/>
      <c r="F6" s="7" t="n"/>
      <c r="G6" s="7" t="n"/>
    </row>
    <row r="7">
      <c r="A7" s="3" t="inlineStr">
        <is>
          <t>Price / sqft</t>
        </is>
      </c>
      <c r="B7" s="9">
        <f>IF(B5=0,"",B5/B6)</f>
        <v/>
      </c>
      <c r="C7" s="9">
        <f>IF(C5=0,"",C5/C6)</f>
        <v/>
      </c>
      <c r="D7" s="9">
        <f>IF(D5=0,"",D5/D6)</f>
        <v/>
      </c>
      <c r="E7" s="9">
        <f>IF(E5=0,"",E5/E6)</f>
        <v/>
      </c>
      <c r="F7" s="9">
        <f>IF(F5=0,"",F5/F6)</f>
        <v/>
      </c>
      <c r="G7" s="9">
        <f>IF(G5=0,"",G5/G6)</f>
        <v/>
      </c>
    </row>
    <row r="8">
      <c r="A8" s="3" t="inlineStr">
        <is>
          <t>Bed / Bath</t>
        </is>
      </c>
      <c r="B8" s="7" t="n"/>
      <c r="C8" s="7" t="n"/>
      <c r="D8" s="7" t="n"/>
      <c r="E8" s="7" t="n"/>
      <c r="F8" s="7" t="n"/>
      <c r="G8" s="7" t="n"/>
    </row>
    <row r="9">
      <c r="A9" s="3" t="inlineStr">
        <is>
          <t>Year built</t>
        </is>
      </c>
      <c r="B9" s="7" t="n"/>
      <c r="C9" s="7" t="n"/>
      <c r="D9" s="7" t="n"/>
      <c r="E9" s="7" t="n"/>
      <c r="F9" s="7" t="n"/>
      <c r="G9" s="7" t="n"/>
    </row>
    <row r="10">
      <c r="A10" s="3" t="inlineStr">
        <is>
          <t>Days on market</t>
        </is>
      </c>
      <c r="B10" s="7" t="n"/>
      <c r="C10" s="7" t="n"/>
      <c r="D10" s="7" t="n"/>
      <c r="E10" s="7" t="n"/>
      <c r="F10" s="7" t="n"/>
      <c r="G10" s="7" t="n"/>
    </row>
    <row r="11">
      <c r="A11" s="3" t="inlineStr">
        <is>
          <t>Condition adj (+/-)</t>
        </is>
      </c>
      <c r="B11" s="6" t="n"/>
      <c r="C11" s="6" t="n"/>
      <c r="D11" s="6" t="n"/>
      <c r="E11" s="6" t="n"/>
      <c r="F11" s="6" t="n"/>
      <c r="G11" s="6" t="n"/>
    </row>
    <row r="12">
      <c r="A12" s="3" t="inlineStr">
        <is>
          <t>Adjusted price</t>
        </is>
      </c>
      <c r="B12" s="10">
        <f>IF(B5=0,0,B5+B11)</f>
        <v/>
      </c>
      <c r="C12" s="10">
        <f>IF(C5=0,0,C5+C11)</f>
        <v/>
      </c>
      <c r="D12" s="10">
        <f>IF(D5=0,0,D5+D11)</f>
        <v/>
      </c>
      <c r="E12" s="10">
        <f>IF(E5=0,0,E5+E11)</f>
        <v/>
      </c>
      <c r="F12" s="10">
        <f>IF(F5=0,0,F5+F11)</f>
        <v/>
      </c>
      <c r="G12" s="10">
        <f>IF(G5=0,0,G5+G11)</f>
        <v/>
      </c>
    </row>
    <row r="14" ht="22" customHeight="1">
      <c r="A14" s="2" t="inlineStr">
        <is>
          <t>ARV Summary</t>
        </is>
      </c>
    </row>
    <row r="15">
      <c r="A15" s="3" t="inlineStr">
        <is>
          <t>Average adjusted price</t>
        </is>
      </c>
      <c r="B15" s="11">
        <f>AVERAGEIF(B12:G12,"&gt;0")</f>
        <v/>
      </c>
    </row>
    <row r="16">
      <c r="A16" s="3" t="inlineStr">
        <is>
          <t>Median adjusted price</t>
        </is>
      </c>
      <c r="B16" s="11">
        <f>MEDIAN(IF(B12:G12&gt;0,B12:G12))</f>
        <v/>
      </c>
    </row>
    <row r="17">
      <c r="A17" s="3" t="inlineStr">
        <is>
          <t>Comp-based ARV (avg)</t>
        </is>
      </c>
      <c r="B17" s="11">
        <f>B15</f>
        <v/>
      </c>
    </row>
  </sheetData>
  <mergeCells count="2">
    <mergeCell ref="A14:H14"/>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30"/>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s>
  <sheetData>
    <row r="1" ht="28" customHeight="1">
      <c r="A1" s="1" t="inlineStr">
        <is>
          <t>REPAIRS – Rehab Cost Estimator</t>
        </is>
      </c>
    </row>
    <row r="3" ht="22" customHeight="1">
      <c r="A3" s="2" t="inlineStr">
        <is>
          <t>Quick Estimate (by condition tier)</t>
        </is>
      </c>
    </row>
    <row r="4">
      <c r="A4" s="3" t="inlineStr">
        <is>
          <t>Square footage</t>
        </is>
      </c>
      <c r="B4" s="5" t="n">
        <v>1400</v>
      </c>
    </row>
    <row r="5">
      <c r="A5" s="3" t="inlineStr">
        <is>
          <t>Condition tier</t>
        </is>
      </c>
      <c r="B5" s="7" t="inlineStr">
        <is>
          <t>Moderate</t>
        </is>
      </c>
    </row>
    <row r="6">
      <c r="A6" s="3" t="inlineStr">
        <is>
          <t>Cost per sqft (from SETTINGS)</t>
        </is>
      </c>
      <c r="B6" s="10">
        <f>IF(B5="Light",SETTINGS!B19,IF(B5="Moderate",SETTINGS!B20,IF(B5="Heavy",SETTINGS!B21,SETTINGS!B22)))</f>
        <v/>
      </c>
    </row>
    <row r="7">
      <c r="A7" s="3" t="inlineStr">
        <is>
          <t>Quick rehab total</t>
        </is>
      </c>
      <c r="B7" s="11">
        <f>B4*B6</f>
        <v/>
      </c>
    </row>
    <row r="9" ht="22" customHeight="1">
      <c r="A9" s="2" t="inlineStr">
        <is>
          <t>Detailed Line-Item Rehab</t>
        </is>
      </c>
    </row>
    <row r="10">
      <c r="A10" s="8" t="inlineStr">
        <is>
          <t>Category</t>
        </is>
      </c>
      <c r="B10" s="8" t="inlineStr">
        <is>
          <t>Description</t>
        </is>
      </c>
      <c r="C10" s="8" t="inlineStr">
        <is>
          <t>Qty</t>
        </is>
      </c>
      <c r="D10" s="8" t="inlineStr">
        <is>
          <t>Unit Cost</t>
        </is>
      </c>
      <c r="E10" s="8" t="inlineStr">
        <is>
          <t>Line Total</t>
        </is>
      </c>
    </row>
    <row r="11">
      <c r="A11" s="3" t="inlineStr">
        <is>
          <t>Roof</t>
        </is>
      </c>
      <c r="B11" s="12" t="inlineStr">
        <is>
          <t>Tear-off + reshingle</t>
        </is>
      </c>
      <c r="C11" s="5" t="n">
        <v>1</v>
      </c>
      <c r="D11" s="6" t="n">
        <v>7500</v>
      </c>
      <c r="E11" s="10">
        <f>C11*D11</f>
        <v/>
      </c>
    </row>
    <row r="12">
      <c r="A12" s="3" t="inlineStr">
        <is>
          <t>HVAC</t>
        </is>
      </c>
      <c r="B12" s="12" t="inlineStr">
        <is>
          <t>Replace full system</t>
        </is>
      </c>
      <c r="C12" s="5" t="n">
        <v>1</v>
      </c>
      <c r="D12" s="6" t="n">
        <v>5500</v>
      </c>
      <c r="E12" s="10">
        <f>C12*D12</f>
        <v/>
      </c>
    </row>
    <row r="13">
      <c r="A13" s="3" t="inlineStr">
        <is>
          <t>Plumbing</t>
        </is>
      </c>
      <c r="B13" s="12" t="inlineStr">
        <is>
          <t>Repipe / repair</t>
        </is>
      </c>
      <c r="C13" s="5" t="n">
        <v>1</v>
      </c>
      <c r="D13" s="6" t="n">
        <v>3500</v>
      </c>
      <c r="E13" s="10">
        <f>C13*D13</f>
        <v/>
      </c>
    </row>
    <row r="14">
      <c r="A14" s="3" t="inlineStr">
        <is>
          <t>Electrical</t>
        </is>
      </c>
      <c r="B14" s="12" t="inlineStr">
        <is>
          <t>Panel + rewire</t>
        </is>
      </c>
      <c r="C14" s="5" t="n">
        <v>1</v>
      </c>
      <c r="D14" s="6" t="n">
        <v>4000</v>
      </c>
      <c r="E14" s="10">
        <f>C14*D14</f>
        <v/>
      </c>
    </row>
    <row r="15">
      <c r="A15" s="3" t="inlineStr">
        <is>
          <t>Foundation</t>
        </is>
      </c>
      <c r="B15" s="12" t="inlineStr">
        <is>
          <t>Pier / level</t>
        </is>
      </c>
      <c r="C15" s="5" t="n">
        <v>1</v>
      </c>
      <c r="D15" s="6" t="n">
        <v>5000</v>
      </c>
      <c r="E15" s="10">
        <f>C15*D15</f>
        <v/>
      </c>
    </row>
    <row r="16">
      <c r="A16" s="3" t="inlineStr">
        <is>
          <t>Exterior paint</t>
        </is>
      </c>
      <c r="B16" s="12" t="inlineStr">
        <is>
          <t>Full exterior</t>
        </is>
      </c>
      <c r="C16" s="5" t="n">
        <v>1</v>
      </c>
      <c r="D16" s="6" t="n">
        <v>3000</v>
      </c>
      <c r="E16" s="10">
        <f>C16*D16</f>
        <v/>
      </c>
    </row>
    <row r="17">
      <c r="A17" s="3" t="inlineStr">
        <is>
          <t>Interior paint</t>
        </is>
      </c>
      <c r="B17" s="12" t="inlineStr">
        <is>
          <t>Full interior</t>
        </is>
      </c>
      <c r="C17" s="5" t="n">
        <v>1</v>
      </c>
      <c r="D17" s="6" t="n">
        <v>2500</v>
      </c>
      <c r="E17" s="10">
        <f>C17*D17</f>
        <v/>
      </c>
    </row>
    <row r="18">
      <c r="A18" s="3" t="inlineStr">
        <is>
          <t>Flooring</t>
        </is>
      </c>
      <c r="B18" s="12" t="inlineStr">
        <is>
          <t>LVP / tile install</t>
        </is>
      </c>
      <c r="C18" s="5" t="n">
        <v>1400</v>
      </c>
      <c r="D18" s="6" t="n">
        <v>3</v>
      </c>
      <c r="E18" s="10">
        <f>C18*D18</f>
        <v/>
      </c>
    </row>
    <row r="19">
      <c r="A19" s="3" t="inlineStr">
        <is>
          <t>Kitchen</t>
        </is>
      </c>
      <c r="B19" s="12" t="inlineStr">
        <is>
          <t>Cabinets + counters + appliances</t>
        </is>
      </c>
      <c r="C19" s="5" t="n">
        <v>1</v>
      </c>
      <c r="D19" s="6" t="n">
        <v>8000</v>
      </c>
      <c r="E19" s="10">
        <f>C19*D19</f>
        <v/>
      </c>
    </row>
    <row r="20">
      <c r="A20" s="3" t="inlineStr">
        <is>
          <t>Bathrooms</t>
        </is>
      </c>
      <c r="B20" s="12" t="inlineStr">
        <is>
          <t>Full bath reno x2</t>
        </is>
      </c>
      <c r="C20" s="5" t="n">
        <v>2</v>
      </c>
      <c r="D20" s="6" t="n">
        <v>4000</v>
      </c>
      <c r="E20" s="10">
        <f>C20*D20</f>
        <v/>
      </c>
    </row>
    <row r="21">
      <c r="A21" s="3" t="inlineStr">
        <is>
          <t>Windows</t>
        </is>
      </c>
      <c r="B21" s="12" t="inlineStr">
        <is>
          <t>Replace all</t>
        </is>
      </c>
      <c r="C21" s="5" t="n">
        <v>10</v>
      </c>
      <c r="D21" s="6" t="n">
        <v>350</v>
      </c>
      <c r="E21" s="10">
        <f>C21*D21</f>
        <v/>
      </c>
    </row>
    <row r="22">
      <c r="A22" s="3" t="inlineStr">
        <is>
          <t>Landscaping</t>
        </is>
      </c>
      <c r="B22" s="12" t="inlineStr">
        <is>
          <t>Clean-up + sod</t>
        </is>
      </c>
      <c r="C22" s="5" t="n">
        <v>1</v>
      </c>
      <c r="D22" s="6" t="n">
        <v>1500</v>
      </c>
      <c r="E22" s="10">
        <f>C22*D22</f>
        <v/>
      </c>
    </row>
    <row r="23">
      <c r="A23" s="3" t="inlineStr">
        <is>
          <t>Dumpster / demo</t>
        </is>
      </c>
      <c r="B23" s="12" t="inlineStr">
        <is>
          <t>Debris removal</t>
        </is>
      </c>
      <c r="C23" s="5" t="n">
        <v>1</v>
      </c>
      <c r="D23" s="6" t="n">
        <v>2000</v>
      </c>
      <c r="E23" s="10">
        <f>C23*D23</f>
        <v/>
      </c>
    </row>
    <row r="24">
      <c r="A24" s="3" t="inlineStr">
        <is>
          <t>Permits / misc</t>
        </is>
      </c>
      <c r="B24" s="12" t="inlineStr">
        <is>
          <t>City permits + contingency</t>
        </is>
      </c>
      <c r="C24" s="5" t="n">
        <v>1</v>
      </c>
      <c r="D24" s="6" t="n">
        <v>2000</v>
      </c>
      <c r="E24" s="10">
        <f>C24*D24</f>
        <v/>
      </c>
    </row>
    <row r="26">
      <c r="A26" s="3" t="inlineStr">
        <is>
          <t>DETAILED REHAB TOTAL</t>
        </is>
      </c>
      <c r="E26" s="11">
        <f>SUM(E11:E24)</f>
        <v/>
      </c>
    </row>
    <row r="28" ht="22" customHeight="1">
      <c r="A28" s="2" t="inlineStr">
        <is>
          <t>Rehab Estimate to Use</t>
        </is>
      </c>
    </row>
    <row r="29">
      <c r="A29" s="3" t="inlineStr">
        <is>
          <t>Use detailed if available?</t>
        </is>
      </c>
      <c r="B29" s="7" t="inlineStr">
        <is>
          <t>Yes</t>
        </is>
      </c>
    </row>
    <row r="30">
      <c r="A30" s="3" t="inlineStr">
        <is>
          <t>Selected rehab estimate</t>
        </is>
      </c>
      <c r="B30" s="11">
        <f>IF(B29="Yes",E26,B7)</f>
        <v/>
      </c>
    </row>
  </sheetData>
  <mergeCells count="4">
    <mergeCell ref="A28:E28"/>
    <mergeCell ref="A1:E1"/>
    <mergeCell ref="A9:E9"/>
    <mergeCell ref="A3:E3"/>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E51"/>
  <sheetViews>
    <sheetView workbookViewId="0">
      <selection activeCell="A1" sqref="A1"/>
    </sheetView>
  </sheetViews>
  <sheetFormatPr baseColWidth="8" defaultRowHeight="15"/>
  <cols>
    <col width="32" customWidth="1" min="1" max="1"/>
    <col width="20" customWidth="1" min="2" max="2"/>
    <col width="6" customWidth="1" min="3" max="3"/>
    <col width="32" customWidth="1" min="4" max="4"/>
    <col width="20" customWidth="1" min="5" max="5"/>
  </cols>
  <sheetData>
    <row r="1" ht="28" customHeight="1">
      <c r="A1" s="1" t="inlineStr">
        <is>
          <t>DEAL CALCULATOR – Underwriting</t>
        </is>
      </c>
    </row>
    <row r="3" ht="22" customHeight="1">
      <c r="A3" s="2" t="inlineStr">
        <is>
          <t>Property Information</t>
        </is>
      </c>
    </row>
    <row r="4">
      <c r="A4" s="3" t="inlineStr">
        <is>
          <t>Property address</t>
        </is>
      </c>
      <c r="B4" s="7" t="inlineStr"/>
    </row>
    <row r="5">
      <c r="A5" s="3" t="inlineStr">
        <is>
          <t>City / Zip</t>
        </is>
      </c>
      <c r="B5" s="7" t="inlineStr">
        <is>
          <t>Dallas, TX</t>
        </is>
      </c>
    </row>
    <row r="6">
      <c r="A6" s="3" t="inlineStr">
        <is>
          <t>County</t>
        </is>
      </c>
      <c r="B6" s="7" t="inlineStr">
        <is>
          <t>Dallas</t>
        </is>
      </c>
    </row>
    <row r="7">
      <c r="A7" s="3" t="inlineStr">
        <is>
          <t>Sq ft</t>
        </is>
      </c>
      <c r="B7" s="7" t="n">
        <v>1400</v>
      </c>
    </row>
    <row r="8">
      <c r="A8" s="3" t="inlineStr">
        <is>
          <t>Beds / Baths</t>
        </is>
      </c>
      <c r="B8" s="7" t="inlineStr">
        <is>
          <t>3 / 2</t>
        </is>
      </c>
    </row>
    <row r="9">
      <c r="A9" s="3" t="inlineStr">
        <is>
          <t>Year built</t>
        </is>
      </c>
      <c r="B9" s="7" t="n">
        <v>1965</v>
      </c>
    </row>
    <row r="10">
      <c r="A10" s="3" t="inlineStr">
        <is>
          <t>Lot size (sqft)</t>
        </is>
      </c>
      <c r="B10" s="7" t="n">
        <v>6500</v>
      </c>
    </row>
    <row r="11">
      <c r="A11" s="3" t="inlineStr">
        <is>
          <t>Seller ask price</t>
        </is>
      </c>
      <c r="B11" s="6" t="n">
        <v>85000</v>
      </c>
    </row>
    <row r="13" ht="22" customHeight="1">
      <c r="A13" s="2" t="inlineStr">
        <is>
          <t>After-Repair Value (ARV)</t>
        </is>
      </c>
    </row>
    <row r="14">
      <c r="A14" s="3" t="inlineStr">
        <is>
          <t>Comp-based ARV (from COMPS)</t>
        </is>
      </c>
      <c r="B14" s="10">
        <f>COMPS!B17</f>
        <v/>
      </c>
    </row>
    <row r="15">
      <c r="A15" s="3" t="inlineStr">
        <is>
          <t>Manual ARV override</t>
        </is>
      </c>
      <c r="B15" s="6" t="n">
        <v>180000</v>
      </c>
    </row>
    <row r="16">
      <c r="A16" s="3" t="inlineStr">
        <is>
          <t>ARV to use</t>
        </is>
      </c>
      <c r="B16" s="11">
        <f>IF(B15&gt;0,B15,B14)</f>
        <v/>
      </c>
    </row>
    <row r="18" ht="22" customHeight="1">
      <c r="A18" s="2" t="inlineStr">
        <is>
          <t>Repair Estimate</t>
        </is>
      </c>
    </row>
    <row r="19">
      <c r="A19" s="3" t="inlineStr">
        <is>
          <t>Rehab estimate (from REPAIRS)</t>
        </is>
      </c>
      <c r="B19" s="10">
        <f>REPAIRS!B30</f>
        <v/>
      </c>
    </row>
    <row r="21" ht="22" customHeight="1">
      <c r="A21" s="2" t="inlineStr">
        <is>
          <t>Classic MAO / ROS Ceiling</t>
        </is>
      </c>
    </row>
    <row r="22">
      <c r="A22" s="3" t="inlineStr">
        <is>
          <t>MAO % of ARV (from SETTINGS)</t>
        </is>
      </c>
      <c r="B22" s="13">
        <f>SETTINGS!B10</f>
        <v/>
      </c>
    </row>
    <row r="23">
      <c r="A23" s="3" t="inlineStr">
        <is>
          <t>Classic MAO ceiling</t>
        </is>
      </c>
      <c r="B23" s="11">
        <f>(B16*B22)-B19</f>
        <v/>
      </c>
    </row>
    <row r="25" ht="22" customHeight="1">
      <c r="A25" s="2" t="inlineStr">
        <is>
          <t>Precision Investor-Max Ceiling</t>
        </is>
      </c>
    </row>
    <row r="26">
      <c r="A26" s="3" t="inlineStr">
        <is>
          <t>Realtor commission</t>
        </is>
      </c>
      <c r="B26" s="10">
        <f>B16*SETTINGS!B4</f>
        <v/>
      </c>
    </row>
    <row r="27">
      <c r="A27" s="3" t="inlineStr">
        <is>
          <t>Seller closing costs</t>
        </is>
      </c>
      <c r="B27" s="10">
        <f>B16*SETTINGS!B5</f>
        <v/>
      </c>
    </row>
    <row r="28">
      <c r="A28" s="3" t="inlineStr">
        <is>
          <t>Hold costs (total)</t>
        </is>
      </c>
      <c r="B28" s="10">
        <f>B16*SETTINGS!B6*SETTINGS!B7</f>
        <v/>
      </c>
    </row>
    <row r="29">
      <c r="A29" s="3" t="inlineStr">
        <is>
          <t>Repairs</t>
        </is>
      </c>
      <c r="B29" s="10">
        <f>B19</f>
        <v/>
      </c>
    </row>
    <row r="30">
      <c r="A30" s="3" t="inlineStr">
        <is>
          <t>Target buyer profit</t>
        </is>
      </c>
      <c r="B30" s="10">
        <f>B16*SETTINGS!B12</f>
        <v/>
      </c>
    </row>
    <row r="31">
      <c r="A31" s="3" t="inlineStr">
        <is>
          <t>Total investor costs</t>
        </is>
      </c>
      <c r="B31" s="10">
        <f>SUM(B26:B30)</f>
        <v/>
      </c>
    </row>
    <row r="32">
      <c r="A32" s="3" t="inlineStr">
        <is>
          <t>Precision investor max</t>
        </is>
      </c>
      <c r="B32" s="11">
        <f>B16-B31</f>
        <v/>
      </c>
    </row>
    <row r="34" ht="22" customHeight="1">
      <c r="A34" s="2" t="inlineStr">
        <is>
          <t>Recommended Contract Ceiling</t>
        </is>
      </c>
    </row>
    <row r="35">
      <c r="A35" s="3" t="inlineStr">
        <is>
          <t>Classic MAO ceiling</t>
        </is>
      </c>
      <c r="B35" s="10">
        <f>B23</f>
        <v/>
      </c>
    </row>
    <row r="36">
      <c r="A36" s="3" t="inlineStr">
        <is>
          <t>Precision investor max</t>
        </is>
      </c>
      <c r="B36" s="10">
        <f>B32</f>
        <v/>
      </c>
    </row>
    <row r="37">
      <c r="A37" s="3" t="inlineStr">
        <is>
          <t>CONTRACT CEILING (lower of two)</t>
        </is>
      </c>
      <c r="B37" s="11">
        <f>MIN(B35,B36)</f>
        <v/>
      </c>
    </row>
    <row r="39" ht="22" customHeight="1">
      <c r="A39" s="2" t="inlineStr">
        <is>
          <t>Offer Strategy</t>
        </is>
      </c>
    </row>
    <row r="40">
      <c r="A40" s="3" t="inlineStr">
        <is>
          <t>Opening offer</t>
        </is>
      </c>
      <c r="B40" s="11">
        <f>B37*(1-SETTINGS!B14)</f>
        <v/>
      </c>
    </row>
    <row r="41">
      <c r="A41" s="3" t="inlineStr">
        <is>
          <t>Target offer</t>
        </is>
      </c>
      <c r="B41" s="11">
        <f>B37*(1-SETTINGS!B15)</f>
        <v/>
      </c>
    </row>
    <row r="42">
      <c r="A42" s="3" t="inlineStr">
        <is>
          <t>Absolute max offer</t>
        </is>
      </c>
      <c r="B42" s="11">
        <f>B37*(1-SETTINGS!B16)</f>
        <v/>
      </c>
    </row>
    <row r="44" ht="22" customHeight="1">
      <c r="A44" s="2" t="inlineStr">
        <is>
          <t>Assignment / Wholesale Spread</t>
        </is>
      </c>
    </row>
    <row r="45">
      <c r="A45" s="3" t="inlineStr">
        <is>
          <t>Contract price (your offer)</t>
        </is>
      </c>
      <c r="B45" s="6" t="n"/>
    </row>
    <row r="46">
      <c r="A46" s="3" t="inlineStr">
        <is>
          <t>Investor buyer price</t>
        </is>
      </c>
      <c r="B46" s="10">
        <f>B32</f>
        <v/>
      </c>
    </row>
    <row r="47">
      <c r="A47" s="3" t="inlineStr">
        <is>
          <t>Assignment fee</t>
        </is>
      </c>
      <c r="B47" s="11">
        <f>B46-B45</f>
        <v/>
      </c>
    </row>
    <row r="48">
      <c r="A48" s="3" t="inlineStr">
        <is>
          <t>Min assignment fee (SETTINGS)</t>
        </is>
      </c>
      <c r="B48" s="10">
        <f>SETTINGS!B13</f>
        <v/>
      </c>
    </row>
    <row r="49">
      <c r="A49" s="3" t="inlineStr">
        <is>
          <t>Fee meets minimum?</t>
        </is>
      </c>
      <c r="B49" s="14">
        <f>IF(B47&gt;=B48,"YES","NO — below min")</f>
        <v/>
      </c>
    </row>
    <row r="50">
      <c r="A50" s="3" t="inlineStr">
        <is>
          <t>Investor ROI</t>
        </is>
      </c>
      <c r="B50" s="13">
        <f>IF(B46&gt;0,(B16-B31-B46)/B46,0)</f>
        <v/>
      </c>
    </row>
    <row r="51">
      <c r="A51" s="3" t="inlineStr">
        <is>
          <t>ROI check</t>
        </is>
      </c>
      <c r="B51" s="14">
        <f>IF(B50&gt;=SETTINGS!B12,"PASS","FAIL — ROI too low")</f>
        <v/>
      </c>
    </row>
  </sheetData>
  <mergeCells count="9">
    <mergeCell ref="A21:E21"/>
    <mergeCell ref="A39:E39"/>
    <mergeCell ref="A34:E34"/>
    <mergeCell ref="A25:E25"/>
    <mergeCell ref="A1:E1"/>
    <mergeCell ref="A13:E13"/>
    <mergeCell ref="A44:E44"/>
    <mergeCell ref="A18:E18"/>
    <mergeCell ref="A3:E3"/>
  </mergeCells>
  <pageMargins left="0.75" right="0.75" top="1" bottom="1" header="0.5" footer="0.5"/>
</worksheet>
</file>

<file path=xl/worksheets/sheet5.xml><?xml version="1.0" encoding="utf-8"?>
<worksheet xmlns="http://schemas.openxmlformats.org/spreadsheetml/2006/main">
  <sheetPr>
    <tabColor rgb="00FFC000"/>
    <outlinePr summaryBelow="1" summaryRight="1"/>
    <pageSetUpPr/>
  </sheetPr>
  <dimension ref="A1:E20"/>
  <sheetViews>
    <sheetView workbookViewId="0">
      <selection activeCell="A1" sqref="A1"/>
    </sheetView>
  </sheetViews>
  <sheetFormatPr baseColWidth="8" defaultRowHeight="15"/>
  <cols>
    <col width="30" customWidth="1" min="1" max="1"/>
    <col width="22" customWidth="1" min="2" max="2"/>
    <col width="6" customWidth="1" min="3" max="3"/>
    <col width="30" customWidth="1" min="4" max="4"/>
    <col width="22" customWidth="1" min="5" max="5"/>
  </cols>
  <sheetData>
    <row r="1" ht="28" customHeight="1">
      <c r="A1" s="1" t="inlineStr">
        <is>
          <t>BUYER DEAL SUMMARY</t>
        </is>
      </c>
    </row>
    <row r="3" ht="22" customHeight="1">
      <c r="A3" s="2" t="inlineStr">
        <is>
          <t>Property Details</t>
        </is>
      </c>
      <c r="D3" s="2" t="inlineStr">
        <is>
          <t>Notes for Buyer</t>
        </is>
      </c>
    </row>
    <row r="4">
      <c r="A4" s="3" t="inlineStr">
        <is>
          <t>Address</t>
        </is>
      </c>
      <c r="B4" s="14">
        <f>DEAL_CALC!B4</f>
        <v/>
      </c>
      <c r="D4" s="3" t="inlineStr">
        <is>
          <t>Comparable sales</t>
        </is>
      </c>
      <c r="E4" s="7" t="inlineStr">
        <is>
          <t>See COMPS tab</t>
        </is>
      </c>
    </row>
    <row r="5">
      <c r="A5" s="3" t="inlineStr">
        <is>
          <t>City / Zip</t>
        </is>
      </c>
      <c r="B5" s="14">
        <f>DEAL_CALC!B5</f>
        <v/>
      </c>
      <c r="D5" s="3" t="inlineStr">
        <is>
          <t>Scope of work</t>
        </is>
      </c>
      <c r="E5" s="7" t="inlineStr">
        <is>
          <t>See REPAIRS tab</t>
        </is>
      </c>
    </row>
    <row r="6">
      <c r="A6" s="3" t="inlineStr">
        <is>
          <t>Sq ft</t>
        </is>
      </c>
      <c r="B6" s="14">
        <f>DEAL_CALC!B7</f>
        <v/>
      </c>
      <c r="D6" s="3" t="inlineStr">
        <is>
          <t>Title status</t>
        </is>
      </c>
      <c r="E6" s="7" t="inlineStr">
        <is>
          <t>Clear — see title report</t>
        </is>
      </c>
    </row>
    <row r="7">
      <c r="A7" s="3" t="inlineStr">
        <is>
          <t>Beds / Baths</t>
        </is>
      </c>
      <c r="B7" s="14">
        <f>DEAL_CALC!B8</f>
        <v/>
      </c>
      <c r="D7" s="3" t="inlineStr">
        <is>
          <t>Assignment / close date</t>
        </is>
      </c>
      <c r="E7" s="7" t="inlineStr">
        <is>
          <t>TBD</t>
        </is>
      </c>
    </row>
    <row r="8">
      <c r="A8" s="3" t="inlineStr">
        <is>
          <t>Year built</t>
        </is>
      </c>
      <c r="B8" s="14">
        <f>DEAL_CALC!B9</f>
        <v/>
      </c>
      <c r="D8" s="3" t="inlineStr">
        <is>
          <t>EMD required</t>
        </is>
      </c>
      <c r="E8" s="7" t="inlineStr">
        <is>
          <t>$2,000</t>
        </is>
      </c>
    </row>
    <row r="10" ht="22" customHeight="1">
      <c r="A10" s="2" t="inlineStr">
        <is>
          <t>Investment Numbers</t>
        </is>
      </c>
    </row>
    <row r="11">
      <c r="A11" s="3" t="inlineStr">
        <is>
          <t>ARV</t>
        </is>
      </c>
      <c r="B11" s="11">
        <f>DEAL_CALC!B16</f>
        <v/>
      </c>
    </row>
    <row r="12">
      <c r="A12" s="3" t="inlineStr">
        <is>
          <t>Est. rehab</t>
        </is>
      </c>
      <c r="B12" s="11">
        <f>DEAL_CALC!B19</f>
        <v/>
      </c>
    </row>
    <row r="13">
      <c r="A13" s="3" t="inlineStr">
        <is>
          <t>Purchase price</t>
        </is>
      </c>
      <c r="B13" s="11">
        <f>DEAL_CALC!B46</f>
        <v/>
      </c>
    </row>
    <row r="14">
      <c r="A14" s="3" t="inlineStr">
        <is>
          <t>Total investment</t>
        </is>
      </c>
      <c r="B14" s="11">
        <f>DEAL_CALC!B46+DEAL_CALC!B19</f>
        <v/>
      </c>
    </row>
    <row r="15">
      <c r="A15" s="3" t="inlineStr">
        <is>
          <t>Projected profit</t>
        </is>
      </c>
      <c r="B15" s="11">
        <f>DEAL_CALC!B16-DEAL_CALC!B31-DEAL_CALC!B46</f>
        <v/>
      </c>
    </row>
    <row r="16">
      <c r="A16" s="3" t="inlineStr">
        <is>
          <t>Est. ROI</t>
        </is>
      </c>
      <c r="B16" s="15">
        <f>DEAL_CALC!B50</f>
        <v/>
      </c>
    </row>
    <row r="18">
      <c r="A18" s="16" t="inlineStr">
        <is>
          <t>DISCLAIMER: This summary is for informational purposes only and does not constitute legal, tax, or investment advice. Buyer should conduct independent due diligence. All figures are estimates and may vary. Consult licensed professionals before closing.</t>
        </is>
      </c>
    </row>
    <row r="19"/>
    <row r="20"/>
  </sheetData>
  <mergeCells count="5">
    <mergeCell ref="A10:B10"/>
    <mergeCell ref="A1:E1"/>
    <mergeCell ref="A18:E20"/>
    <mergeCell ref="D3:E3"/>
    <mergeCell ref="A3:B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2026-03-11T02:37:47Z</dcterms:created>
  <dcterms:modified xsi:type="dcterms:W3CDTF">2026-03-11T02:37:47Z</dcterms:modified>
</cp:coreProperties>
</file>